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8_{55408064-C866-42E4-9899-B54259737420}" xr6:coauthVersionLast="47" xr6:coauthVersionMax="47" xr10:uidLastSave="{00000000-0000-0000-0000-000000000000}"/>
  <bookViews>
    <workbookView xWindow="-28920" yWindow="-120" windowWidth="29040" windowHeight="15720" xr2:uid="{EFFF781B-5261-4B2B-8F27-4B821A788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M21" i="1" s="1"/>
  <c r="E3" i="1"/>
  <c r="M13" i="1" l="1"/>
  <c r="M11" i="1"/>
  <c r="M12" i="1"/>
  <c r="M20" i="1"/>
  <c r="M19" i="1"/>
  <c r="M18" i="1"/>
  <c r="M17" i="1"/>
  <c r="M16" i="1"/>
  <c r="M15" i="1"/>
  <c r="M14" i="1"/>
  <c r="F3" i="1"/>
  <c r="L11" i="1" s="1"/>
  <c r="G3" i="1" l="1"/>
  <c r="L18" i="1"/>
  <c r="L19" i="1"/>
  <c r="L20" i="1"/>
  <c r="L21" i="1"/>
  <c r="L12" i="1"/>
  <c r="L13" i="1"/>
  <c r="L14" i="1"/>
  <c r="L15" i="1"/>
  <c r="L16" i="1"/>
  <c r="L17" i="1"/>
</calcChain>
</file>

<file path=xl/sharedStrings.xml><?xml version="1.0" encoding="utf-8"?>
<sst xmlns="http://schemas.openxmlformats.org/spreadsheetml/2006/main" count="29" uniqueCount="23">
  <si>
    <t>ETF</t>
  </si>
  <si>
    <t>FUT</t>
  </si>
  <si>
    <t>Ratio</t>
  </si>
  <si>
    <t>conv FUT</t>
  </si>
  <si>
    <t>basis</t>
  </si>
  <si>
    <t>index</t>
  </si>
  <si>
    <t>spot</t>
  </si>
  <si>
    <t>options</t>
  </si>
  <si>
    <t>ETF mult</t>
  </si>
  <si>
    <t>FUT mult</t>
  </si>
  <si>
    <t>d hegde</t>
  </si>
  <si>
    <t>ETF CH</t>
  </si>
  <si>
    <t>strike</t>
  </si>
  <si>
    <t>delta</t>
  </si>
  <si>
    <t>mark</t>
  </si>
  <si>
    <t>FUT CH</t>
  </si>
  <si>
    <t>CONV CH</t>
  </si>
  <si>
    <t>index pts</t>
  </si>
  <si>
    <t>eq prem</t>
  </si>
  <si>
    <t>FUT:ETF</t>
  </si>
  <si>
    <t>ETF:FUT</t>
  </si>
  <si>
    <t>jun 18 ex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</si>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</sst>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2" fillId="4" borderId="0" xfId="0" applyFont="1" applyFill="1"/>
    <xf numFmtId="0" fontId="1" fillId="4" borderId="0" xfId="0" applyFont="1" applyFill="1"/>
    <xf numFmtId="0" fontId="0" fillId="2" borderId="4" xfId="0" applyFill="1" applyBorder="1"/>
    <xf numFmtId="0" fontId="0" fillId="2" borderId="5" xfId="0" applyFill="1" applyBorder="1"/>
    <xf numFmtId="0" fontId="0" fillId="5" borderId="1" xfId="0" applyFill="1" applyBorder="1"/>
    <xf numFmtId="0" fontId="0" fillId="6" borderId="6" xfId="0" applyFill="1" applyBorder="1"/>
    <xf numFmtId="0" fontId="0" fillId="5" borderId="6" xfId="0" applyFill="1" applyBorder="1"/>
    <xf numFmtId="0" fontId="0" fillId="6" borderId="7" xfId="0" applyFill="1" applyBorder="1"/>
    <xf numFmtId="0" fontId="0" fillId="7" borderId="6" xfId="0" applyFill="1" applyBorder="1"/>
    <xf numFmtId="0" fontId="0" fillId="0" borderId="0" xfId="0" applyFill="1" applyBorder="1"/>
    <xf numFmtId="0" fontId="0" fillId="7" borderId="1" xfId="0" applyFill="1" applyBorder="1"/>
    <xf numFmtId="0" fontId="0" fillId="5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Premiums @ Delta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ETF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Sheet1!$C$11:$C$21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</c:numCache>
            </c:numRef>
          </c:xVal>
          <c:yVal>
            <c:numRef>
              <c:f>Sheet1!$E$11:$E$21</c:f>
              <c:numCache>
                <c:formatCode>General</c:formatCode>
                <c:ptCount val="11"/>
                <c:pt idx="0">
                  <c:v>17</c:v>
                </c:pt>
                <c:pt idx="1">
                  <c:v>44</c:v>
                </c:pt>
                <c:pt idx="2">
                  <c:v>66</c:v>
                </c:pt>
                <c:pt idx="3">
                  <c:v>93</c:v>
                </c:pt>
                <c:pt idx="4">
                  <c:v>145</c:v>
                </c:pt>
                <c:pt idx="5">
                  <c:v>215</c:v>
                </c:pt>
                <c:pt idx="6">
                  <c:v>272</c:v>
                </c:pt>
                <c:pt idx="7">
                  <c:v>344</c:v>
                </c:pt>
                <c:pt idx="8">
                  <c:v>401</c:v>
                </c:pt>
                <c:pt idx="9">
                  <c:v>467</c:v>
                </c:pt>
                <c:pt idx="10">
                  <c:v>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4B-4FFE-AB9A-9914B41C6F66}"/>
            </c:ext>
          </c:extLst>
        </c:ser>
        <c:ser>
          <c:idx val="1"/>
          <c:order val="1"/>
          <c:tx>
            <c:v>Futures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Sheet1!$C$11:$C$21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</c:numCache>
            </c:numRef>
          </c:xVal>
          <c:yVal>
            <c:numRef>
              <c:f>Sheet1!$M$11:$M$21</c:f>
              <c:numCache>
                <c:formatCode>General</c:formatCode>
                <c:ptCount val="11"/>
                <c:pt idx="0">
                  <c:v>18</c:v>
                </c:pt>
                <c:pt idx="1">
                  <c:v>26</c:v>
                </c:pt>
                <c:pt idx="2">
                  <c:v>65.400000000000006</c:v>
                </c:pt>
                <c:pt idx="3">
                  <c:v>92.4</c:v>
                </c:pt>
                <c:pt idx="4">
                  <c:v>140</c:v>
                </c:pt>
                <c:pt idx="5">
                  <c:v>199</c:v>
                </c:pt>
                <c:pt idx="6">
                  <c:v>250</c:v>
                </c:pt>
                <c:pt idx="7">
                  <c:v>317.39999999999998</c:v>
                </c:pt>
                <c:pt idx="8">
                  <c:v>387.6</c:v>
                </c:pt>
                <c:pt idx="9">
                  <c:v>450</c:v>
                </c:pt>
                <c:pt idx="10">
                  <c:v>522.4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4B-4FFE-AB9A-9914B41C6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462895"/>
        <c:axId val="748603823"/>
      </c:scatterChart>
      <c:valAx>
        <c:axId val="88446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03823"/>
        <c:crosses val="autoZero"/>
        <c:crossBetween val="midCat"/>
      </c:valAx>
      <c:valAx>
        <c:axId val="74860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Premium 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46289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Delta Distribution on an ETF Price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ETF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xVal>
            <c:numRef>
              <c:f>Sheet1!$D$11:$D$21</c:f>
              <c:numCache>
                <c:formatCode>General</c:formatCode>
                <c:ptCount val="11"/>
                <c:pt idx="0">
                  <c:v>675</c:v>
                </c:pt>
                <c:pt idx="1">
                  <c:v>705</c:v>
                </c:pt>
                <c:pt idx="2">
                  <c:v>712</c:v>
                </c:pt>
                <c:pt idx="3">
                  <c:v>717</c:v>
                </c:pt>
                <c:pt idx="4">
                  <c:v>723</c:v>
                </c:pt>
                <c:pt idx="5">
                  <c:v>728</c:v>
                </c:pt>
                <c:pt idx="6">
                  <c:v>731</c:v>
                </c:pt>
                <c:pt idx="7">
                  <c:v>734</c:v>
                </c:pt>
                <c:pt idx="8">
                  <c:v>736</c:v>
                </c:pt>
                <c:pt idx="9">
                  <c:v>738</c:v>
                </c:pt>
                <c:pt idx="10">
                  <c:v>741</c:v>
                </c:pt>
              </c:numCache>
            </c:numRef>
          </c:xVal>
          <c:yVal>
            <c:numRef>
              <c:f>Sheet1!$C$11:$C$21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91-4C4F-AB5C-D128C90CAD5E}"/>
            </c:ext>
          </c:extLst>
        </c:ser>
        <c:ser>
          <c:idx val="1"/>
          <c:order val="1"/>
          <c:tx>
            <c:v>Conv Futures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exp"/>
            <c:dispRSqr val="0"/>
            <c:dispEq val="0"/>
          </c:trendline>
          <c:xVal>
            <c:numRef>
              <c:f>Sheet1!$L$11:$L$21</c:f>
              <c:numCache>
                <c:formatCode>General</c:formatCode>
                <c:ptCount val="11"/>
                <c:pt idx="0">
                  <c:v>680.27499999999998</c:v>
                </c:pt>
                <c:pt idx="1">
                  <c:v>698.27499999999998</c:v>
                </c:pt>
                <c:pt idx="2">
                  <c:v>719.27499999999998</c:v>
                </c:pt>
                <c:pt idx="3">
                  <c:v>724.27499999999998</c:v>
                </c:pt>
                <c:pt idx="4">
                  <c:v>729.77499999999998</c:v>
                </c:pt>
                <c:pt idx="5">
                  <c:v>734.27499999999998</c:v>
                </c:pt>
                <c:pt idx="6">
                  <c:v>737.27499999999998</c:v>
                </c:pt>
                <c:pt idx="7">
                  <c:v>740.27499999999998</c:v>
                </c:pt>
                <c:pt idx="8">
                  <c:v>742.77499999999998</c:v>
                </c:pt>
                <c:pt idx="9">
                  <c:v>744.77499999999998</c:v>
                </c:pt>
                <c:pt idx="10">
                  <c:v>746.77499999999998</c:v>
                </c:pt>
              </c:numCache>
            </c:numRef>
          </c:xVal>
          <c:yVal>
            <c:numRef>
              <c:f>Sheet1!$K$11:$K$21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91-4C4F-AB5C-D128C90CA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468175"/>
        <c:axId val="884475855"/>
      </c:scatterChart>
      <c:valAx>
        <c:axId val="88446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(ETF)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475855"/>
        <c:crosses val="autoZero"/>
        <c:crossBetween val="midCat"/>
      </c:valAx>
      <c:valAx>
        <c:axId val="88447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46817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247648</xdr:colOff>
      <xdr:row>0</xdr:row>
      <xdr:rowOff>157160</xdr:rowOff>
    </xdr:from>
    <xdr:to>
      <xdr:col>24</xdr:col>
      <xdr:colOff>247649</xdr:colOff>
      <xdr:row>20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053FB7-20F0-2CE4-1351-FCACBB424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238125</xdr:colOff>
      <xdr:row>20</xdr:row>
      <xdr:rowOff>80960</xdr:rowOff>
    </xdr:from>
    <xdr:to>
      <xdr:col>24</xdr:col>
      <xdr:colOff>209550</xdr:colOff>
      <xdr:row>41</xdr:row>
      <xdr:rowOff>142874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B5B2B6-9B50-783D-9C28-4336408D9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C5F8-87BB-411D-95CD-AB5DEE45B2EA}">
  <dimension ref="A1:M21"/>
  <sheetViews>
    <sheetView tabSelected="1" workbookViewId="0">
      <selection activeCell="E5" sqref="E5"/>
    </sheetView>
  </sheetViews>
  <sheetFormatPr defaultRowHeight="15" x14ac:dyDescent="0.25"/>
  <cols>
    <col min="6" max="6" width="10" customWidth="1"/>
    <col min="10" max="10" width="9.7109375" customWidth="1"/>
  </cols>
  <sheetData>
    <row r="1" spans="1:13" ht="23.25" customHeight="1" x14ac:dyDescent="0.25">
      <c r="A1" s="6" t="s">
        <v>6</v>
      </c>
      <c r="D1" t="s">
        <v>19</v>
      </c>
    </row>
    <row r="2" spans="1:13" x14ac:dyDescent="0.25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1" t="s">
        <v>5</v>
      </c>
    </row>
    <row r="3" spans="1:13" ht="15.75" thickBot="1" x14ac:dyDescent="0.3">
      <c r="B3" s="2">
        <v>742.4</v>
      </c>
      <c r="C3" s="2">
        <v>7436.25</v>
      </c>
      <c r="D3" s="2">
        <v>0.1</v>
      </c>
      <c r="E3" s="2">
        <f>C3*D3</f>
        <v>743.625</v>
      </c>
      <c r="F3" s="10">
        <f>E3-B3</f>
        <v>1.2250000000000227</v>
      </c>
      <c r="G3" s="10">
        <f>IF(E3&gt;0,E3-F3,E3+(-F3))</f>
        <v>742.4</v>
      </c>
    </row>
    <row r="5" spans="1:13" ht="25.5" customHeight="1" x14ac:dyDescent="0.25">
      <c r="A5" s="6" t="s">
        <v>7</v>
      </c>
      <c r="D5" t="s">
        <v>20</v>
      </c>
    </row>
    <row r="6" spans="1:13" x14ac:dyDescent="0.25">
      <c r="B6" s="3" t="s">
        <v>8</v>
      </c>
      <c r="C6" s="4" t="s">
        <v>9</v>
      </c>
      <c r="D6" s="1" t="s">
        <v>10</v>
      </c>
    </row>
    <row r="7" spans="1:13" ht="15.75" thickBot="1" x14ac:dyDescent="0.3">
      <c r="B7" s="2">
        <v>100</v>
      </c>
      <c r="C7" s="2">
        <v>50</v>
      </c>
      <c r="D7" s="10">
        <f>(C7/B7)*(1/D3)</f>
        <v>5</v>
      </c>
    </row>
    <row r="8" spans="1:13" x14ac:dyDescent="0.25">
      <c r="J8" t="s">
        <v>17</v>
      </c>
    </row>
    <row r="9" spans="1:13" ht="26.25" customHeight="1" x14ac:dyDescent="0.25">
      <c r="B9" s="7" t="s">
        <v>11</v>
      </c>
      <c r="C9" t="s">
        <v>21</v>
      </c>
      <c r="F9" s="7" t="s">
        <v>15</v>
      </c>
      <c r="G9" t="s">
        <v>21</v>
      </c>
      <c r="J9" s="7" t="s">
        <v>16</v>
      </c>
      <c r="M9" t="s">
        <v>18</v>
      </c>
    </row>
    <row r="10" spans="1:13" x14ac:dyDescent="0.25">
      <c r="C10" s="8" t="s">
        <v>13</v>
      </c>
      <c r="D10" s="9" t="s">
        <v>12</v>
      </c>
      <c r="E10" s="1" t="s">
        <v>22</v>
      </c>
      <c r="G10" s="5" t="s">
        <v>13</v>
      </c>
      <c r="H10" s="5" t="s">
        <v>12</v>
      </c>
      <c r="I10" s="5" t="s">
        <v>14</v>
      </c>
      <c r="J10" s="15"/>
      <c r="K10" s="5" t="s">
        <v>13</v>
      </c>
      <c r="L10" s="5" t="s">
        <v>12</v>
      </c>
      <c r="M10" s="5" t="s">
        <v>14</v>
      </c>
    </row>
    <row r="11" spans="1:13" ht="15.75" thickBot="1" x14ac:dyDescent="0.3">
      <c r="C11" s="10">
        <v>1</v>
      </c>
      <c r="D11" s="2">
        <v>675</v>
      </c>
      <c r="E11" s="2">
        <v>17</v>
      </c>
      <c r="G11" s="10">
        <v>1</v>
      </c>
      <c r="H11" s="2">
        <v>6815</v>
      </c>
      <c r="I11" s="2">
        <v>90</v>
      </c>
      <c r="K11" s="10">
        <v>1</v>
      </c>
      <c r="L11" s="2">
        <f>H11*$D$3-$F$3</f>
        <v>680.27499999999998</v>
      </c>
      <c r="M11" s="2">
        <f>I11/$D$7</f>
        <v>18</v>
      </c>
    </row>
    <row r="12" spans="1:13" ht="15.75" thickBot="1" x14ac:dyDescent="0.3">
      <c r="C12" s="11">
        <v>5</v>
      </c>
      <c r="D12" s="14">
        <v>705</v>
      </c>
      <c r="E12" s="14">
        <v>44</v>
      </c>
      <c r="G12" s="11">
        <v>5</v>
      </c>
      <c r="H12" s="14">
        <v>6995</v>
      </c>
      <c r="I12" s="14">
        <v>130</v>
      </c>
      <c r="K12" s="11">
        <v>5</v>
      </c>
      <c r="L12" s="16">
        <f>H12*$D$3-$F$3</f>
        <v>698.27499999999998</v>
      </c>
      <c r="M12" s="16">
        <f>I12/$D$7</f>
        <v>26</v>
      </c>
    </row>
    <row r="13" spans="1:13" ht="15.75" thickBot="1" x14ac:dyDescent="0.3">
      <c r="C13" s="12">
        <v>7</v>
      </c>
      <c r="D13" s="2">
        <v>712</v>
      </c>
      <c r="E13" s="2">
        <v>66</v>
      </c>
      <c r="G13" s="12">
        <v>7</v>
      </c>
      <c r="H13" s="2">
        <v>7205</v>
      </c>
      <c r="I13" s="2">
        <v>327</v>
      </c>
      <c r="K13" s="12">
        <v>7</v>
      </c>
      <c r="L13" s="2">
        <f t="shared" ref="L13:L21" si="0">H13*$D$3-$F$3</f>
        <v>719.27499999999998</v>
      </c>
      <c r="M13" s="2">
        <f t="shared" ref="M13:M20" si="1">I13/$D$7</f>
        <v>65.400000000000006</v>
      </c>
    </row>
    <row r="14" spans="1:13" ht="15.75" thickBot="1" x14ac:dyDescent="0.3">
      <c r="C14" s="11">
        <v>10</v>
      </c>
      <c r="D14" s="14">
        <v>717</v>
      </c>
      <c r="E14" s="14">
        <v>93</v>
      </c>
      <c r="G14" s="11">
        <v>10</v>
      </c>
      <c r="H14" s="14">
        <v>7255</v>
      </c>
      <c r="I14" s="14">
        <v>462</v>
      </c>
      <c r="K14" s="11">
        <v>10</v>
      </c>
      <c r="L14" s="16">
        <f t="shared" si="0"/>
        <v>724.27499999999998</v>
      </c>
      <c r="M14" s="16">
        <f t="shared" si="1"/>
        <v>92.4</v>
      </c>
    </row>
    <row r="15" spans="1:13" ht="15.75" thickBot="1" x14ac:dyDescent="0.3">
      <c r="C15" s="12">
        <v>15</v>
      </c>
      <c r="D15" s="2">
        <v>723</v>
      </c>
      <c r="E15" s="2">
        <v>145</v>
      </c>
      <c r="G15" s="12">
        <v>15</v>
      </c>
      <c r="H15" s="2">
        <v>7310</v>
      </c>
      <c r="I15" s="2">
        <v>700</v>
      </c>
      <c r="K15" s="12">
        <v>15</v>
      </c>
      <c r="L15" s="2">
        <f t="shared" si="0"/>
        <v>729.77499999999998</v>
      </c>
      <c r="M15" s="2">
        <f t="shared" si="1"/>
        <v>140</v>
      </c>
    </row>
    <row r="16" spans="1:13" ht="15.75" thickBot="1" x14ac:dyDescent="0.3">
      <c r="C16" s="13">
        <v>20</v>
      </c>
      <c r="D16" s="14">
        <v>728</v>
      </c>
      <c r="E16" s="14">
        <v>215</v>
      </c>
      <c r="G16" s="13">
        <v>20</v>
      </c>
      <c r="H16" s="14">
        <v>7355</v>
      </c>
      <c r="I16" s="14">
        <v>995</v>
      </c>
      <c r="K16" s="13">
        <v>20</v>
      </c>
      <c r="L16" s="16">
        <f t="shared" si="0"/>
        <v>734.27499999999998</v>
      </c>
      <c r="M16" s="16">
        <f t="shared" si="1"/>
        <v>199</v>
      </c>
    </row>
    <row r="17" spans="3:13" ht="15.75" thickBot="1" x14ac:dyDescent="0.3">
      <c r="C17" s="12">
        <v>25</v>
      </c>
      <c r="D17" s="2">
        <v>731</v>
      </c>
      <c r="E17" s="2">
        <v>272</v>
      </c>
      <c r="G17" s="12">
        <v>25</v>
      </c>
      <c r="H17" s="2">
        <v>7385</v>
      </c>
      <c r="I17" s="2">
        <v>1250</v>
      </c>
      <c r="K17" s="12">
        <v>25</v>
      </c>
      <c r="L17" s="2">
        <f t="shared" si="0"/>
        <v>737.27499999999998</v>
      </c>
      <c r="M17" s="2">
        <f t="shared" si="1"/>
        <v>250</v>
      </c>
    </row>
    <row r="18" spans="3:13" ht="15.75" thickBot="1" x14ac:dyDescent="0.3">
      <c r="C18" s="11">
        <v>30</v>
      </c>
      <c r="D18" s="14">
        <v>734</v>
      </c>
      <c r="E18" s="14">
        <v>344</v>
      </c>
      <c r="G18" s="11">
        <v>30</v>
      </c>
      <c r="H18" s="14">
        <v>7415</v>
      </c>
      <c r="I18" s="14">
        <v>1587</v>
      </c>
      <c r="K18" s="11">
        <v>30</v>
      </c>
      <c r="L18" s="16">
        <f t="shared" si="0"/>
        <v>740.27499999999998</v>
      </c>
      <c r="M18" s="16">
        <f t="shared" si="1"/>
        <v>317.39999999999998</v>
      </c>
    </row>
    <row r="19" spans="3:13" ht="15.75" thickBot="1" x14ac:dyDescent="0.3">
      <c r="C19" s="12">
        <v>35</v>
      </c>
      <c r="D19" s="2">
        <v>736</v>
      </c>
      <c r="E19" s="2">
        <v>401</v>
      </c>
      <c r="G19" s="12">
        <v>35</v>
      </c>
      <c r="H19" s="2">
        <v>7440</v>
      </c>
      <c r="I19" s="2">
        <v>1938</v>
      </c>
      <c r="K19" s="12">
        <v>35</v>
      </c>
      <c r="L19" s="2">
        <f t="shared" si="0"/>
        <v>742.77499999999998</v>
      </c>
      <c r="M19" s="2">
        <f t="shared" si="1"/>
        <v>387.6</v>
      </c>
    </row>
    <row r="20" spans="3:13" ht="15.75" thickBot="1" x14ac:dyDescent="0.3">
      <c r="C20" s="11">
        <v>40</v>
      </c>
      <c r="D20" s="14">
        <v>738</v>
      </c>
      <c r="E20" s="14">
        <v>467</v>
      </c>
      <c r="G20" s="11">
        <v>40</v>
      </c>
      <c r="H20" s="14">
        <v>7460</v>
      </c>
      <c r="I20" s="14">
        <v>2250</v>
      </c>
      <c r="K20" s="11">
        <v>40</v>
      </c>
      <c r="L20" s="16">
        <f t="shared" si="0"/>
        <v>744.77499999999998</v>
      </c>
      <c r="M20" s="16">
        <f t="shared" si="1"/>
        <v>450</v>
      </c>
    </row>
    <row r="21" spans="3:13" ht="15.75" thickBot="1" x14ac:dyDescent="0.3">
      <c r="C21" s="17">
        <v>45</v>
      </c>
      <c r="D21" s="2">
        <v>741</v>
      </c>
      <c r="E21" s="2">
        <v>585</v>
      </c>
      <c r="G21" s="12">
        <v>45</v>
      </c>
      <c r="H21" s="2">
        <v>7480</v>
      </c>
      <c r="I21" s="2">
        <v>2612</v>
      </c>
      <c r="K21" s="12">
        <v>45</v>
      </c>
      <c r="L21" s="2">
        <f t="shared" si="0"/>
        <v>746.77499999999998</v>
      </c>
      <c r="M21" s="2">
        <f>I21/$D$7</f>
        <v>522.4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1910BF-76E6-4787-8A54-B8E3E26EE7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1B3AD3-304D-4E02-88DC-A6CCDAE8CB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532AB8-D885-4A74-B5C0-7301FADF2E2B}">
  <ds:schemaRefs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aa22a689-7505-4716-b802-371d38c763eb"/>
    <ds:schemaRef ds:uri="http://purl.org/dc/dcmitype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2026-06-13T01:53:47Z</dcterms:created>
  <dcterms:modified xsi:type="dcterms:W3CDTF">2026-06-13T07:31:13Z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